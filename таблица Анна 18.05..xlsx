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<sst xmlns="http://schemas.openxmlformats.org/spreadsheetml/2006/main" xmlns:a="http://schemas.openxmlformats.org/drawingml/2006/main" xmlns:a15="http://schemas.microsoft.com/office/drawing/2012/main" xmlns:asvg="http://schemas.microsoft.com/office/drawing/2016/SVG/main" xmlns:c="http://schemas.openxmlformats.org/drawingml/2006/chart" xmlns:co="http://ncloudtech.com" xmlns:co-ooxml="http://ncloudtech.com/ooxml" xmlns:m="http://schemas.openxmlformats.org/officeDocument/2006/math" xmlns:mc="http://schemas.openxmlformats.org/markup-compatibility/2006" xmlns:o="urn:schemas-microsoft-com:office:office" xmlns:p="http://schemas.openxmlformats.org/presentationml/2006/main" xmlns:pic="http://schemas.openxmlformats.org/drawingml/2006/picture" xmlns:r="http://schemas.openxmlformats.org/officeDocument/2006/relationships" xmlns:s="http://schemas.openxmlformats.org/officeDocument/2006/sharedTypes" xmlns:sl="http://schemas.openxmlformats.org/schemaLibrary/2006/main" xmlns:v="urn:schemas-microsoft-com:vml" xmlns:w="http://schemas.openxmlformats.org/wordprocessingml/2006/main" xmlns:w10="urn:schemas-microsoft-com:office:word" xmlns:w14="http://schemas.microsoft.com/office/word/2010/wordml" xmlns:w15="http://schemas.microsoft.com/office/word/2012/wordml" xmlns:wp="http://schemas.openxmlformats.org/drawingml/2006/wordprocessingDrawing" xmlns:wpg="http://schemas.microsoft.com/office/word/2010/wordprocessingGroup" xmlns:wps="http://schemas.microsoft.com/office/word/2010/wordprocessingShape" xmlns:x="urn:schemas-microsoft-com:office:excel" xmlns:x12ac="http://schemas.microsoft.com/office/spreadsheetml/2011/1/ac" xmlns:x14="http://schemas.microsoft.com/office/spreadsheetml/2009/9/main" xmlns:xdr="http://schemas.openxmlformats.org/drawingml/2006/spreadsheetDrawing" xmlns:xm="http://schemas.microsoft.com/office/excel/2006/main" mc:Ignorable="co co-ooxml w14 x14 w15">
  <si>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</si>
  <si>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</si>
  <si>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 xml:space="preserve">максимальный показатель </t>
  </si>
  <si>
    <t xml:space="preserve">сумма для 2 </t>
  </si>
  <si>
    <t xml:space="preserve">сумма для 3 </t>
  </si>
  <si>
    <t xml:space="preserve">статическая функция </t>
  </si>
  <si>
    <t>для А (лист 3)</t>
  </si>
  <si>
    <t>для B (лист 3)</t>
  </si>
  <si>
    <t>для C (лист3)</t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</si>
  <si>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</si>
  <si>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</si>
  <si>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</si>
  <si>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</si>
  <si>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</si>
  <si>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</si>
  <si>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t xml:space="preserve">колледж 1 </t>
  </si>
  <si>
    <t xml:space="preserve">колледж 2 </t>
  </si>
  <si>
    <t>колледж 3</t>
  </si>
  <si>
    <t xml:space="preserve">колледж 4 </t>
  </si>
  <si>
    <t>Итого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</si>
</sst>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'Лист5'!B5:H5</c:f>
            </c:numRef>
          </c:val>
          <c:smooth val="false"/>
        </c:ser>
        <c:ser>
          <c:idx val="5"/>
          <c:order val="5"/>
          <c:tx>
            <c:strRef>
              <c:f>'Лист5'!A6</c:f>
            </c:strRef>
          </c:tx>
          <c:spPr>
            <a:ln w="38100">
              <a:solidFill>
                <a:schemeClr val="accent6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'Лист5'!B6:H6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990600" y="1657349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2^(A2+1)-1</f>
        <v>1</v>
      </c>
    </row>
    <row outlineLevel="0" r="3">
      <c r="A3" s="0" t="n">
        <v>1</v>
      </c>
      <c r="B3" s="0" t="n">
        <v>3</v>
      </c>
    </row>
    <row outlineLevel="0" r="4">
      <c r="A4" s="0" t="n">
        <v>2</v>
      </c>
      <c r="B4" s="0" t="n">
        <v>7</v>
      </c>
    </row>
    <row outlineLevel="0" r="5">
      <c r="A5" s="0" t="n">
        <v>3</v>
      </c>
      <c r="B5" s="0" t="n">
        <v>15</v>
      </c>
    </row>
    <row outlineLevel="0" r="6">
      <c r="A6" s="0" t="n">
        <v>4</v>
      </c>
      <c r="B6" s="0" t="n">
        <v>31</v>
      </c>
    </row>
    <row outlineLevel="0" r="7">
      <c r="A7" s="0" t="n">
        <v>5</v>
      </c>
      <c r="B7" s="0" t="n">
        <v>63</v>
      </c>
    </row>
    <row outlineLevel="0" r="8">
      <c r="A8" s="0" t="n">
        <v>6</v>
      </c>
      <c r="B8" s="0" t="n">
        <v>127</v>
      </c>
    </row>
    <row outlineLevel="0" r="9">
      <c r="A9" s="0" t="n">
        <v>7</v>
      </c>
      <c r="B9" s="0" t="n">
        <v>255</v>
      </c>
    </row>
    <row outlineLevel="0" r="10">
      <c r="A10" s="0" t="n">
        <v>8</v>
      </c>
      <c r="B10" s="0" t="n">
        <v>511</v>
      </c>
    </row>
    <row outlineLevel="0" r="11">
      <c r="A11" s="0" t="n">
        <v>9</v>
      </c>
      <c r="B11" s="0" t="n">
        <v>1023</v>
      </c>
    </row>
    <row outlineLevel="0" r="12">
      <c r="A12" s="0" t="n">
        <v>10</v>
      </c>
      <c r="B12" s="0" t="n">
        <v>2047</v>
      </c>
    </row>
    <row outlineLevel="0" r="13">
      <c r="A13" s="0" t="n">
        <v>11</v>
      </c>
      <c r="B13" s="0" t="n">
        <v>4095</v>
      </c>
    </row>
    <row outlineLevel="0" r="14">
      <c r="A14" s="0" t="n">
        <v>12</v>
      </c>
      <c r="B14" s="0" t="n">
        <v>8191</v>
      </c>
    </row>
    <row outlineLevel="0" r="15">
      <c r="A15" s="0" t="n">
        <v>13</v>
      </c>
      <c r="B15" s="0" t="n">
        <v>16383</v>
      </c>
    </row>
    <row outlineLevel="0" r="16">
      <c r="A16" s="0" t="n">
        <v>14</v>
      </c>
      <c r="B16" s="0" t="n">
        <v>32767</v>
      </c>
    </row>
    <row outlineLevel="0" r="17">
      <c r="A17" s="0" t="n">
        <v>15</v>
      </c>
      <c r="B17" s="0" t="n">
        <v>65535</v>
      </c>
    </row>
    <row outlineLevel="0" r="18">
      <c r="A18" s="0" t="n">
        <v>16</v>
      </c>
      <c r="B18" s="0" t="n">
        <v>131071</v>
      </c>
    </row>
    <row outlineLevel="0" r="19">
      <c r="A19" s="0" t="n">
        <v>17</v>
      </c>
      <c r="B19" s="0" t="n">
        <v>262143</v>
      </c>
    </row>
    <row outlineLevel="0" r="20">
      <c r="A20" s="0" t="n">
        <v>18</v>
      </c>
      <c r="B20" s="0" t="n">
        <v>524287</v>
      </c>
    </row>
    <row outlineLevel="0" r="21">
      <c r="A21" s="0" t="n">
        <v>19</v>
      </c>
      <c r="B21" s="0" t="n">
        <v>1048575</v>
      </c>
    </row>
    <row outlineLevel="0" r="22">
      <c r="A22" s="0" t="n">
        <v>20</v>
      </c>
      <c r="B22" s="0" t="n">
        <v>2097151</v>
      </c>
    </row>
    <row outlineLevel="0" r="23">
      <c r="A23" s="0" t="n">
        <v>21</v>
      </c>
      <c r="B23" s="0" t="n">
        <v>4194303</v>
      </c>
    </row>
    <row outlineLevel="0" r="24">
      <c r="A24" s="0" t="n">
        <v>22</v>
      </c>
      <c r="B24" s="0" t="n">
        <v>8388607</v>
      </c>
    </row>
    <row outlineLevel="0" r="25">
      <c r="A25" s="0" t="n">
        <v>23</v>
      </c>
      <c r="B25" s="0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(3^(A2+1)-1)/2</f>
        <v>1</v>
      </c>
    </row>
    <row outlineLevel="0" r="3">
      <c r="A3" s="0" t="n">
        <v>1</v>
      </c>
      <c r="B3" s="0" t="n">
        <v>4</v>
      </c>
    </row>
    <row outlineLevel="0" r="4">
      <c r="A4" s="0" t="n">
        <v>2</v>
      </c>
      <c r="B4" s="0" t="n">
        <v>13</v>
      </c>
    </row>
    <row outlineLevel="0" r="5">
      <c r="A5" s="0" t="n">
        <v>3</v>
      </c>
      <c r="B5" s="0" t="n">
        <v>40</v>
      </c>
    </row>
    <row outlineLevel="0" r="6">
      <c r="A6" s="0" t="n">
        <v>4</v>
      </c>
      <c r="B6" s="0" t="n">
        <v>121</v>
      </c>
    </row>
    <row outlineLevel="0" r="7">
      <c r="A7" s="0" t="n">
        <v>5</v>
      </c>
      <c r="B7" s="0" t="n">
        <v>364</v>
      </c>
    </row>
    <row outlineLevel="0" r="8">
      <c r="A8" s="0" t="n">
        <v>6</v>
      </c>
      <c r="B8" s="0" t="n">
        <v>1093</v>
      </c>
    </row>
    <row outlineLevel="0" r="9">
      <c r="A9" s="0" t="n">
        <v>7</v>
      </c>
      <c r="B9" s="0" t="n">
        <v>3280</v>
      </c>
    </row>
    <row outlineLevel="0" r="10">
      <c r="A10" s="0" t="n">
        <v>8</v>
      </c>
      <c r="B10" s="0" t="n">
        <v>9841</v>
      </c>
    </row>
    <row outlineLevel="0" r="11">
      <c r="A11" s="0" t="n">
        <v>9</v>
      </c>
      <c r="B11" s="0" t="n">
        <v>29524</v>
      </c>
    </row>
    <row outlineLevel="0" r="12">
      <c r="A12" s="0" t="n">
        <v>10</v>
      </c>
      <c r="B12" s="0" t="n">
        <v>88573</v>
      </c>
    </row>
    <row outlineLevel="0" r="13">
      <c r="A13" s="0" t="n">
        <v>11</v>
      </c>
      <c r="B13" s="0" t="n">
        <v>265720</v>
      </c>
    </row>
    <row outlineLevel="0" r="14">
      <c r="A14" s="0" t="n">
        <v>12</v>
      </c>
      <c r="B14" s="0" t="n">
        <v>797161</v>
      </c>
    </row>
    <row outlineLevel="0" r="15">
      <c r="A15" s="0" t="n">
        <v>13</v>
      </c>
      <c r="B15" s="0" t="n">
        <v>2391484</v>
      </c>
    </row>
    <row outlineLevel="0" r="16">
      <c r="A16" s="0" t="n">
        <v>14</v>
      </c>
      <c r="B16" s="0" t="n">
        <v>7174453</v>
      </c>
    </row>
    <row outlineLevel="0" r="17">
      <c r="A17" s="0" t="n">
        <v>15</v>
      </c>
      <c r="B17" s="0" t="n">
        <v>21523360</v>
      </c>
    </row>
    <row outlineLevel="0" r="18">
      <c r="A18" s="0" t="n">
        <v>16</v>
      </c>
      <c r="B18" s="0" t="n">
        <v>64570081</v>
      </c>
    </row>
    <row outlineLevel="0" r="19">
      <c r="A19" s="0" t="n">
        <v>17</v>
      </c>
      <c r="B19" s="0" t="n">
        <v>193710244</v>
      </c>
    </row>
    <row outlineLevel="0" r="20">
      <c r="A20" s="0" t="n">
        <v>18</v>
      </c>
      <c r="B20" s="0" t="n">
        <v>581130733</v>
      </c>
    </row>
    <row outlineLevel="0" r="21">
      <c r="A21" s="0" t="n">
        <v>19</v>
      </c>
      <c r="B21" s="0" t="n">
        <v>1743392200</v>
      </c>
    </row>
    <row outlineLevel="0" r="22">
      <c r="A22" s="0" t="n">
        <v>20</v>
      </c>
      <c r="B22" s="0" t="n">
        <v>5230176601</v>
      </c>
    </row>
    <row outlineLevel="0" r="23">
      <c r="A23" s="0" t="n">
        <v>21</v>
      </c>
      <c r="B23" s="0" t="n">
        <v>15690529804</v>
      </c>
    </row>
    <row outlineLevel="0" r="24">
      <c r="A24" s="0" t="n">
        <v>22</v>
      </c>
      <c r="B24" s="0" t="n">
        <v>47071589413</v>
      </c>
    </row>
    <row outlineLevel="0" r="25">
      <c r="A25" s="0" t="n">
        <v>23</v>
      </c>
      <c r="B25" s="0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2</v>
      </c>
      <c r="B1" s="0" t="s">
        <v>3</v>
      </c>
      <c r="C1" s="0" t="s">
        <v>4</v>
      </c>
    </row>
    <row outlineLevel="0" r="2">
      <c r="A2" s="0" t="n">
        <v>0</v>
      </c>
      <c r="B2" s="0" t="n">
        <f aca="false" ca="false" dt2D="false" dtr="false" t="normal">VLOOKUP(A2, 'Лист1'!A$1:B$25, 2, 0)</f>
        <v>1</v>
      </c>
      <c r="C2" s="0" t="n">
        <f aca="false" ca="false" dt2D="false" dtr="false" t="normal">VLOOKUP(A2, 'Лист2'!A$1:B$25, 2, 0)</f>
        <v>1</v>
      </c>
    </row>
    <row outlineLevel="0" r="3">
      <c r="A3" s="0" t="n">
        <v>1</v>
      </c>
      <c r="B3" s="0" t="n">
        <v>1</v>
      </c>
      <c r="C3" s="0" t="n">
        <v>1</v>
      </c>
    </row>
    <row outlineLevel="0" r="4">
      <c r="A4" s="0" t="n">
        <v>2</v>
      </c>
      <c r="B4" s="0" t="n">
        <v>3</v>
      </c>
      <c r="C4" s="0" t="n">
        <v>4</v>
      </c>
    </row>
    <row outlineLevel="0" r="5">
      <c r="A5" s="0" t="n">
        <v>3</v>
      </c>
      <c r="B5" s="0" t="n">
        <v>7</v>
      </c>
      <c r="C5" s="0" t="n">
        <v>13</v>
      </c>
    </row>
    <row outlineLevel="0" r="6">
      <c r="A6" s="0" t="n">
        <v>4</v>
      </c>
      <c r="B6" s="0" t="n">
        <v>15</v>
      </c>
      <c r="C6" s="0" t="n">
        <v>40</v>
      </c>
    </row>
    <row outlineLevel="0" r="7">
      <c r="A7" s="0" t="n">
        <v>5</v>
      </c>
      <c r="B7" s="0" t="n">
        <v>31</v>
      </c>
      <c r="C7" s="0" t="n">
        <v>121</v>
      </c>
    </row>
    <row outlineLevel="0" r="8">
      <c r="A8" s="0" t="n">
        <v>6</v>
      </c>
      <c r="B8" s="0" t="n">
        <v>63</v>
      </c>
      <c r="C8" s="0" t="n">
        <v>364</v>
      </c>
    </row>
    <row outlineLevel="0" r="9">
      <c r="A9" s="0" t="n">
        <v>7</v>
      </c>
      <c r="B9" s="0" t="n">
        <v>127</v>
      </c>
      <c r="C9" s="0" t="n">
        <v>1093</v>
      </c>
    </row>
    <row outlineLevel="0" r="10">
      <c r="A10" s="0" t="n">
        <v>8</v>
      </c>
      <c r="B10" s="0" t="n">
        <v>255</v>
      </c>
      <c r="C10" s="0" t="n">
        <v>3280</v>
      </c>
    </row>
    <row outlineLevel="0" r="11">
      <c r="A11" s="0" t="n">
        <v>9</v>
      </c>
      <c r="B11" s="0" t="n">
        <v>511</v>
      </c>
      <c r="C11" s="0" t="n">
        <v>9841</v>
      </c>
    </row>
    <row outlineLevel="0" r="12">
      <c r="A12" s="0" t="n">
        <v>10</v>
      </c>
      <c r="B12" s="0" t="n">
        <v>1023</v>
      </c>
      <c r="C12" s="0" t="n">
        <v>29524</v>
      </c>
    </row>
    <row outlineLevel="0" r="13">
      <c r="A13" s="0" t="n">
        <v>11</v>
      </c>
      <c r="B13" s="0" t="n">
        <v>2047</v>
      </c>
      <c r="C13" s="0" t="n">
        <v>88573</v>
      </c>
    </row>
    <row outlineLevel="0" r="14">
      <c r="A14" s="0" t="n">
        <v>12</v>
      </c>
      <c r="B14" s="0" t="n">
        <v>4095</v>
      </c>
      <c r="C14" s="0" t="n">
        <v>265720</v>
      </c>
    </row>
    <row outlineLevel="0" r="15">
      <c r="A15" s="0" t="n">
        <v>13</v>
      </c>
      <c r="B15" s="0" t="n">
        <v>8191</v>
      </c>
      <c r="C15" s="0" t="n">
        <v>797161</v>
      </c>
    </row>
    <row outlineLevel="0" r="16">
      <c r="A16" s="0" t="n">
        <v>14</v>
      </c>
      <c r="B16" s="0" t="n">
        <v>16383</v>
      </c>
      <c r="C16" s="0" t="n">
        <v>2391484</v>
      </c>
    </row>
    <row outlineLevel="0" r="17">
      <c r="A17" s="0" t="n">
        <v>15</v>
      </c>
      <c r="B17" s="0" t="n">
        <v>32767</v>
      </c>
      <c r="C17" s="0" t="n">
        <v>7174453</v>
      </c>
    </row>
    <row outlineLevel="0" r="18">
      <c r="A18" s="0" t="n">
        <v>16</v>
      </c>
      <c r="B18" s="0" t="n">
        <v>65535</v>
      </c>
      <c r="C18" s="0" t="n">
        <v>21523360</v>
      </c>
    </row>
    <row outlineLevel="0" r="19">
      <c r="A19" s="0" t="n">
        <v>17</v>
      </c>
      <c r="B19" s="0" t="n">
        <v>131071</v>
      </c>
      <c r="C19" s="0" t="n">
        <v>64570081</v>
      </c>
    </row>
    <row outlineLevel="0" r="20">
      <c r="A20" s="0" t="n">
        <v>18</v>
      </c>
      <c r="B20" s="0" t="n">
        <v>262143</v>
      </c>
      <c r="C20" s="0" t="n">
        <v>193710244</v>
      </c>
    </row>
    <row outlineLevel="0" r="21">
      <c r="A21" s="0" t="n">
        <v>19</v>
      </c>
      <c r="B21" s="0" t="n">
        <v>524287</v>
      </c>
      <c r="C21" s="0" t="n">
        <v>581130733</v>
      </c>
    </row>
    <row outlineLevel="0" r="22">
      <c r="A22" s="0" t="n">
        <v>20</v>
      </c>
      <c r="B22" s="0" t="n">
        <v>1048575</v>
      </c>
      <c r="C22" s="0" t="n">
        <v>1743392200</v>
      </c>
    </row>
    <row outlineLevel="0" r="23">
      <c r="A23" s="0" t="n">
        <v>21</v>
      </c>
      <c r="B23" s="0" t="n">
        <v>2097151</v>
      </c>
      <c r="C23" s="0" t="n">
        <v>5230176601</v>
      </c>
    </row>
    <row outlineLevel="0" r="24">
      <c r="A24" s="0" t="n">
        <v>22</v>
      </c>
      <c r="B24" s="0" t="n">
        <v>4194303</v>
      </c>
      <c r="C24" s="0" t="n">
        <v>15690529804</v>
      </c>
    </row>
    <row outlineLevel="0" r="25">
      <c r="A25" s="0" t="n">
        <v>23</v>
      </c>
      <c r="B25" s="0" t="n">
        <v>8388607</v>
      </c>
      <c r="C25" s="0" t="n">
        <v>47071589413</v>
      </c>
    </row>
    <row outlineLevel="0" r="26">
      <c r="B26" s="0" t="n">
        <v>16777215</v>
      </c>
      <c r="C26" s="0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5</v>
      </c>
      <c r="B1" s="0" t="s">
        <v>6</v>
      </c>
      <c r="C1" s="0" t="s">
        <v>7</v>
      </c>
      <c r="D1" s="0" t="s">
        <v>8</v>
      </c>
    </row>
    <row outlineLevel="0" r="2">
      <c r="A2" s="0" t="s">
        <v>9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699049.66666666663</v>
      </c>
      <c r="D2" s="0" t="n">
        <f aca="false" ca="false" dt2D="false" dtr="false" t="normal">AVERAGE('Лист3'!C2:C25)</f>
        <v>2941974337.875</v>
      </c>
    </row>
    <row outlineLevel="0" r="3">
      <c r="A3" s="0" t="s">
        <v>10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8388607</v>
      </c>
      <c r="D3" s="0" t="n">
        <f aca="false" ca="false" dt2D="false" dtr="false" t="normal">MAX('Лист3'!C2:C25)</f>
        <v>47071589413</v>
      </c>
    </row>
    <row outlineLevel="0" r="4">
      <c r="A4" s="0" t="s">
        <v>11</v>
      </c>
      <c r="B4" s="0" t="n">
        <f aca="false" ca="false" dt2D="false" dtr="false" t="normal">MIN('Лист3'!A2:A25)</f>
        <v>0</v>
      </c>
      <c r="C4" s="0" t="n">
        <f aca="false" ca="false" dt2D="false" dtr="false" t="normal">MIN('Лист3'!B2:B25)</f>
        <v>1</v>
      </c>
      <c r="D4" s="0" t="n">
        <f aca="false" ca="false" dt2D="false" dtr="false" t="normal">MIN('Лист3'!C2:C25)</f>
        <v>1</v>
      </c>
    </row>
    <row outlineLevel="0" r="5">
      <c r="A5" s="0" t="s">
        <v>12</v>
      </c>
      <c r="B5" s="0" t="n">
        <f aca="false" ca="false" dt2D="false" dtr="false" t="normal">MEDIAN('Лист3'!A2:A25)</f>
        <v>11.5</v>
      </c>
      <c r="C5" s="0" t="n">
        <f aca="false" ca="false" dt2D="false" dtr="false" t="normal">MEDIAN('Лист3'!B2:B25)</f>
        <v>3071</v>
      </c>
      <c r="D5" s="0" t="n">
        <f aca="false" ca="false" dt2D="false" dtr="false" t="normal">MEDIAN('Лист3'!C2:C25)</f>
        <v>177146.5</v>
      </c>
    </row>
    <row outlineLevel="0" r="6">
      <c r="A6" s="0" t="s">
        <v>13</v>
      </c>
      <c r="B6" s="0" t="e">
        <f aca="false" ca="false" dt2D="false" dtr="false" t="normal">_XLFN.MODE.SNGL('Лист3'!A2:A25)</f>
        <v>#N/A</v>
      </c>
      <c r="C6" s="0" t="n">
        <f aca="false" ca="false" dt2D="false" dtr="false" t="normal">_XLFN.MODE.SNGL('Лист3'!B2:B25)</f>
        <v>1</v>
      </c>
      <c r="D6" s="0" t="n">
        <f aca="false" ca="false" dt2D="false" dtr="false" t="normal">_XLFN.MODE.SNGL('Лист3'!C2:C25)</f>
        <v>1</v>
      </c>
    </row>
    <row outlineLevel="0" r="7">
      <c r="A7" s="0" t="s">
        <v>14</v>
      </c>
      <c r="B7" s="0" t="n">
        <f aca="false" ca="false" dt2D="false" dtr="false" t="normal">_XLFN.VAR.S('Лист3'!A2:A25)</f>
        <v>50</v>
      </c>
      <c r="C7" s="0" t="n">
        <f aca="false" ca="false" dt2D="false" dtr="false" t="normal">_XLFN.VAR.S('Лист3'!B2:B25)</f>
        <v>3569429052490.3188</v>
      </c>
      <c r="D7" s="0" t="n">
        <f aca="false" ca="false" dt2D="false" dtr="false" t="normal">_XLFN.VAR.S('Лист3'!C2:C25)</f>
        <v>9.9346792781239009E+19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15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</row>
    <row outlineLevel="0" r="3">
      <c r="A3" s="0" t="s">
        <v>16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outlineLevel="0" r="4">
      <c r="A4" s="0" t="s">
        <v>17</v>
      </c>
      <c r="B4" s="0" t="n">
        <v>3211400</v>
      </c>
      <c r="C4" s="0" t="n">
        <v>4873837</v>
      </c>
      <c r="D4" s="0" t="n">
        <v>3654654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outlineLevel="0" r="5">
      <c r="A5" s="0" t="s">
        <v>18</v>
      </c>
      <c r="B5" s="0" t="n">
        <f aca="false" ca="false" dt2D="false" dtr="false" t="normal">SUM(B2:B4)</f>
        <v>4959200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  <row outlineLevel="0" r="6">
      <c r="A6" s="0" t="s">
        <v>19</v>
      </c>
      <c r="B6" s="0" t="n">
        <v>9920401</v>
      </c>
      <c r="C6" s="0" t="n">
        <v>15687922</v>
      </c>
      <c r="D6" s="0" t="n">
        <v>12316185</v>
      </c>
      <c r="E6" s="0" t="n">
        <v>16464446</v>
      </c>
      <c r="F6" s="0" t="n">
        <v>16216859</v>
      </c>
      <c r="G6" s="0" t="n">
        <v>12784778</v>
      </c>
      <c r="H6" s="0" t="n">
        <v>22315883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2026-05-18T07:15:36Z</dcterms:created>
  <dcterms:modified xsi:type="dcterms:W3CDTF">2026-05-18T07:15:36Z</dcterms:modified>
</cp:coreProperties>
</file>